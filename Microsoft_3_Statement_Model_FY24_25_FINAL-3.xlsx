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qafarovs/Desktop/"/>
    </mc:Choice>
  </mc:AlternateContent>
  <xr:revisionPtr revIDLastSave="0" documentId="8_{3A248BEC-B216-C845-BE32-AACCE6A0D67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Balance Sheet" sheetId="1" r:id="rId1"/>
    <sheet name="Income Statement" sheetId="2" r:id="rId2"/>
    <sheet name="Cash Flow" sheetId="3" r:id="rId3"/>
    <sheet name="Summary &amp; Ratios." sheetId="4" r:id="rId4"/>
    <sheet name="DCF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3" l="1"/>
  <c r="D39" i="3"/>
  <c r="C39" i="3"/>
  <c r="E31" i="3"/>
  <c r="D31" i="3"/>
  <c r="C31" i="3"/>
  <c r="G15" i="2"/>
  <c r="F15" i="2"/>
  <c r="E15" i="2"/>
  <c r="G11" i="2"/>
  <c r="G16" i="2" s="1"/>
  <c r="G20" i="2" s="1"/>
  <c r="G22" i="2" s="1"/>
  <c r="G24" i="2" s="1"/>
  <c r="E6" i="3" s="1"/>
  <c r="E22" i="3" s="1"/>
  <c r="E41" i="3" s="1"/>
  <c r="E43" i="3" s="1"/>
  <c r="D42" i="3" s="1"/>
  <c r="F11" i="2"/>
  <c r="F16" i="2" s="1"/>
  <c r="E11" i="2"/>
  <c r="E16" i="2" s="1"/>
  <c r="I42" i="1"/>
  <c r="H42" i="1"/>
  <c r="I30" i="1"/>
  <c r="I37" i="1" s="1"/>
  <c r="I43" i="1" s="1"/>
  <c r="H30" i="1"/>
  <c r="H37" i="1" s="1"/>
  <c r="H43" i="1" s="1"/>
  <c r="D11" i="5"/>
  <c r="C11" i="5"/>
  <c r="E20" i="2" l="1"/>
  <c r="C3" i="4"/>
  <c r="F20" i="2"/>
  <c r="D3" i="4"/>
  <c r="C5" i="5"/>
  <c r="D5" i="5"/>
  <c r="F22" i="2" l="1"/>
  <c r="D5" i="4"/>
  <c r="C7" i="5"/>
  <c r="E22" i="2"/>
  <c r="C3" i="5" s="1"/>
  <c r="C9" i="5" s="1"/>
  <c r="C5" i="4"/>
  <c r="D13" i="5" l="1"/>
  <c r="F24" i="2"/>
  <c r="C13" i="5"/>
  <c r="C15" i="5" s="1"/>
  <c r="E24" i="2"/>
  <c r="D3" i="5"/>
  <c r="D9" i="5" s="1"/>
  <c r="D15" i="5" s="1"/>
  <c r="C7" i="4" l="1"/>
  <c r="C6" i="3"/>
  <c r="C22" i="3" s="1"/>
  <c r="D6" i="3"/>
  <c r="D22" i="3" s="1"/>
  <c r="D7" i="4"/>
  <c r="D9" i="4" l="1"/>
  <c r="D41" i="3"/>
  <c r="D43" i="3" s="1"/>
  <c r="C9" i="4"/>
  <c r="C41" i="3"/>
  <c r="I7" i="1" l="1"/>
  <c r="I9" i="1" s="1"/>
  <c r="C42" i="3"/>
  <c r="C43" i="3" s="1"/>
  <c r="H7" i="1" s="1"/>
  <c r="H9" i="1" s="1"/>
  <c r="H13" i="1" l="1"/>
  <c r="C17" i="5"/>
  <c r="C19" i="5" s="1"/>
  <c r="I13" i="1"/>
  <c r="D17" i="5"/>
  <c r="D19" i="5" s="1"/>
  <c r="D11" i="4" l="1"/>
  <c r="I20" i="1"/>
  <c r="C11" i="4"/>
  <c r="H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2" authorId="0" shapeId="0" xr:uid="{00000000-0006-0000-0200-000001000000}">
      <text>
        <r>
          <rPr>
            <sz val="10"/>
            <rFont val="Arial"/>
            <family val="2"/>
          </rPr>
          <t>Hardcoded: FY2022 ending cash not included in this workbook (earliest period shown). Source: Microsoft FY2023 10-K.</t>
        </r>
      </text>
    </comment>
  </commentList>
</comments>
</file>

<file path=xl/sharedStrings.xml><?xml version="1.0" encoding="utf-8"?>
<sst xmlns="http://schemas.openxmlformats.org/spreadsheetml/2006/main" count="132" uniqueCount="113">
  <si>
    <t>Microsoft Corporation</t>
  </si>
  <si>
    <t>Balance Sheet ($ in millions)</t>
  </si>
  <si>
    <t>Source: Company 10-K filings, FY2024-FY2025 (SEC EDGAR); Cash linked from Cash Flow statement</t>
  </si>
  <si>
    <t>Line Item</t>
  </si>
  <si>
    <t>FY 2025</t>
  </si>
  <si>
    <t>FY 2024</t>
  </si>
  <si>
    <t>Assets</t>
  </si>
  <si>
    <t>Current assets:</t>
  </si>
  <si>
    <t>Cash and cash equivalents</t>
  </si>
  <si>
    <t>Short-term investments</t>
  </si>
  <si>
    <t>Total cash, cash equivalents, and short-term investments</t>
  </si>
  <si>
    <t>Accounts receivable, net</t>
  </si>
  <si>
    <t>Inventories</t>
  </si>
  <si>
    <t>Other current assets</t>
  </si>
  <si>
    <t>Total current assets</t>
  </si>
  <si>
    <t>Property and equipment, net</t>
  </si>
  <si>
    <t>Operating lease right-of-use assets</t>
  </si>
  <si>
    <t>Equity and other investments</t>
  </si>
  <si>
    <t>Goodwill</t>
  </si>
  <si>
    <t>Intangible assets, net</t>
  </si>
  <si>
    <t>Other long-term assets</t>
  </si>
  <si>
    <t>Total assets</t>
  </si>
  <si>
    <t>Liabilities and stockholders’ equity</t>
  </si>
  <si>
    <t>Current liabilities:</t>
  </si>
  <si>
    <t>Accounts payable</t>
  </si>
  <si>
    <t>Short-term debt</t>
  </si>
  <si>
    <t>Current portion of long-term debt</t>
  </si>
  <si>
    <t>Accrued compensation</t>
  </si>
  <si>
    <t>Short-term income taxes</t>
  </si>
  <si>
    <t>Short-term unearned revenue</t>
  </si>
  <si>
    <t>Other current liabilities</t>
  </si>
  <si>
    <t>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</si>
  <si>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</si>
  <si>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</si>
  <si>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</si>
  <si>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</si>
  <si>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</si>
  <si>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</si>
  <si>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>Total liabilities</t>
  </si>
  <si>
    <t>Stockholders’ equity:</t>
  </si>
  <si>
    <t>Common stock and paid-in capital</t>
  </si>
  <si>
    <t>Retained earnings</t>
  </si>
  <si>
    <t>Accumulated other comprehensive loss</t>
  </si>
  <si>
    <t>Total stockholders’ equity</t>
  </si>
  <si>
    <t>Total liabilities and stockholders’ equity</t>
  </si>
  <si>
    <t>Income Statement ($ in millions, except per share amounts)</t>
  </si>
  <si>
    <t>Source: Company 10-K filings, FY2023-FY2025 (SEC EDGAR)</t>
  </si>
  <si>
    <t>FY 2023</t>
  </si>
  <si>
    <t>Revenue:</t>
  </si>
  <si>
    <t>Product</t>
  </si>
  <si>
    <t>Service and other</t>
  </si>
  <si>
    <t>Total revenue</t>
  </si>
  <si>
    <t>Cost of revenue:</t>
  </si>
  <si>
    <t>Total cost of revenue</t>
  </si>
  <si>
    <t>Gross margin</t>
  </si>
  <si>
    <t>Research and development</t>
  </si>
  <si>
    <t>Sales and marketing</t>
  </si>
  <si>
    <t>General and administrative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</si>
  <si>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</si>
  <si>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</si>
  <si>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</si>
  <si>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</si>
  <si>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</si>
  <si>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</si>
  <si>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>Basic</t>
  </si>
  <si>
    <t>Diluted</t>
  </si>
  <si>
    <t>Weighted average shares outstanding:</t>
  </si>
  <si>
    <t>Statement of Cash Flows ($ in millions)</t>
  </si>
  <si>
    <t>Source: Company 10-K filings, FY2023-FY2025 (SEC EDGAR); Net income linked from Income Statement</t>
  </si>
  <si>
    <t>Operations</t>
  </si>
  <si>
    <t>Adjustments to reconcile net income to net cash from operations:</t>
  </si>
  <si>
    <t>Depreciation, amortization, and other</t>
  </si>
  <si>
    <t>Stock-based compensation expense</t>
  </si>
  <si>
    <t>Net recognized losses on investments and derivatives</t>
  </si>
  <si>
    <t>Changes in operating assets and liabilities:</t>
  </si>
  <si>
    <t>Accounts receivable</t>
  </si>
  <si>
    <t>Unearned revenue</t>
  </si>
  <si>
    <t>Income taxes</t>
  </si>
  <si>
    <t>Net cash from operations</t>
  </si>
  <si>
    <t>Financing</t>
  </si>
  <si>
    <t>Proceeds from issuance (repayments) of debt,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</si>
  <si>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</si>
  <si>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</si>
  <si>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</si>
  <si>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</si>
  <si>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</si>
  <si>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Other, net</t>
  </si>
  <si>
    <t>Net cash used in financing</t>
  </si>
  <si>
    <t>Investing</t>
  </si>
  <si>
    <t>Additions to property and equipment</t>
  </si>
  <si>
    <t>Acquisition of companies, net of cash acquired and divestitures, and purchases of intangible and other assets</t>
  </si>
  <si>
    <t>Purchases of investments</t>
  </si>
  <si>
    <t>Maturities of investments</t>
  </si>
  <si>
    <t>Sales of investments</t>
  </si>
  <si>
    <t>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</si>
  <si>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</si>
  <si>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</si>
  <si>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</si>
  <si>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</si>
  <si>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Gross Margin %</t>
  </si>
  <si>
    <t>Opereting Margin %</t>
  </si>
  <si>
    <t>Net Profit Margin %</t>
  </si>
  <si>
    <t>Free Cash Flow (M$)</t>
  </si>
  <si>
    <t>Current Ratio</t>
  </si>
  <si>
    <t>NOPAT</t>
  </si>
  <si>
    <t>NWC</t>
  </si>
  <si>
    <t>Change NWC</t>
  </si>
  <si>
    <t>UFCF</t>
  </si>
  <si>
    <t>Total Debt Bridge Value</t>
  </si>
  <si>
    <t>WACC</t>
  </si>
  <si>
    <t xml:space="preserve">Terminal Value </t>
  </si>
  <si>
    <t xml:space="preserve">Implied Equity 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</si>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</sst>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.00;\(#,##0.00\);\-"/>
    <numFmt numFmtId="166" formatCode="_(* #,##0.00_);_(* \(#,##0.00\);_(* \-??_);_(@_)"/>
  </numFmts>
  <fonts count="25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9"/>
      <color rgb="FF808080"/>
      <name val="Arial"/>
      <family val="2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rgb="FF000000"/>
      <name val="Arial"/>
      <family val="2"/>
    </font>
    <font>
      <i/>
      <sz val="12"/>
      <color rgb="FF000000"/>
      <name val="Aptos Narrow"/>
      <family val="2"/>
      <charset val="1"/>
    </font>
    <font>
      <b/>
      <sz val="12"/>
      <color rgb="FF000000"/>
      <name val="Arial"/>
      <family val="2"/>
    </font>
    <font>
      <sz val="10"/>
      <color theme="1"/>
      <name val="Arial"/>
      <family val="2"/>
      <charset val="1"/>
    </font>
    <font>
      <sz val="1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theme="1"/>
      <name val="Times New Roman"/>
      <family val="1"/>
      <charset val="1"/>
    </font>
    <font>
      <b/>
      <sz val="12"/>
      <color rgb="FF000000"/>
      <name val="Arial"/>
      <family val="2"/>
      <charset val="1"/>
    </font>
    <font>
      <sz val="10"/>
      <color rgb="FF000000"/>
      <name val="Arial Unicode MS"/>
      <family val="2"/>
      <charset val="1"/>
    </font>
    <font>
      <sz val="12"/>
      <color rgb="FF00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0"/>
      <color rgb="FFFFFFFF"/>
      <name val="Arial Unicode MS"/>
      <family val="2"/>
      <charset val="1"/>
    </font>
    <font>
      <sz val="10"/>
      <color rgb="FF000000"/>
      <name val="Google Sans Text"/>
      <family val="2"/>
      <charset val="1"/>
    </font>
    <font>
      <sz val="14"/>
      <color rgb="FF000000"/>
      <name val="-webkit-standard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8" fillId="0" borderId="0" xfId="0" applyFont="1"/>
    <xf numFmtId="3" fontId="6" fillId="0" borderId="0" xfId="0" applyNumberFormat="1" applyFont="1"/>
    <xf numFmtId="164" fontId="9" fillId="0" borderId="1" xfId="0" applyNumberFormat="1" applyFont="1" applyBorder="1"/>
    <xf numFmtId="3" fontId="10" fillId="0" borderId="0" xfId="0" applyNumberFormat="1" applyFont="1"/>
    <xf numFmtId="164" fontId="11" fillId="0" borderId="1" xfId="0" applyNumberFormat="1" applyFont="1" applyBorder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3" fontId="8" fillId="0" borderId="0" xfId="0" applyNumberFormat="1" applyFont="1"/>
    <xf numFmtId="3" fontId="12" fillId="0" borderId="0" xfId="0" applyNumberFormat="1" applyFont="1" applyAlignment="1">
      <alignment horizontal="right" vertical="center" wrapText="1"/>
    </xf>
    <xf numFmtId="0" fontId="16" fillId="0" borderId="0" xfId="0" applyFont="1"/>
    <xf numFmtId="3" fontId="17" fillId="0" borderId="0" xfId="0" applyNumberFormat="1" applyFont="1"/>
    <xf numFmtId="3" fontId="7" fillId="0" borderId="0" xfId="0" applyNumberFormat="1" applyFont="1"/>
    <xf numFmtId="0" fontId="12" fillId="0" borderId="0" xfId="0" applyFont="1" applyAlignment="1">
      <alignment vertical="center"/>
    </xf>
    <xf numFmtId="0" fontId="18" fillId="0" borderId="0" xfId="0" applyFont="1"/>
    <xf numFmtId="3" fontId="5" fillId="0" borderId="0" xfId="0" applyNumberFormat="1" applyFont="1"/>
    <xf numFmtId="0" fontId="13" fillId="0" borderId="0" xfId="0" applyFont="1" applyAlignment="1">
      <alignment horizontal="center" vertical="center" wrapText="1"/>
    </xf>
    <xf numFmtId="3" fontId="18" fillId="0" borderId="0" xfId="0" applyNumberFormat="1" applyFont="1"/>
    <xf numFmtId="0" fontId="17" fillId="0" borderId="0" xfId="0" applyFont="1"/>
    <xf numFmtId="3" fontId="16" fillId="0" borderId="0" xfId="0" applyNumberFormat="1" applyFont="1"/>
    <xf numFmtId="0" fontId="10" fillId="0" borderId="0" xfId="0" applyFont="1"/>
    <xf numFmtId="3" fontId="6" fillId="0" borderId="1" xfId="0" applyNumberFormat="1" applyFont="1" applyBorder="1"/>
    <xf numFmtId="3" fontId="19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 indent="9"/>
    </xf>
    <xf numFmtId="0" fontId="12" fillId="0" borderId="0" xfId="0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4"/>
    </xf>
    <xf numFmtId="0" fontId="19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 indent="12"/>
    </xf>
    <xf numFmtId="0" fontId="16" fillId="0" borderId="1" xfId="0" applyFont="1" applyBorder="1"/>
    <xf numFmtId="0" fontId="18" fillId="0" borderId="1" xfId="0" applyFont="1" applyBorder="1"/>
    <xf numFmtId="165" fontId="9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0" fontId="20" fillId="0" borderId="0" xfId="0" applyFont="1"/>
    <xf numFmtId="166" fontId="0" fillId="0" borderId="1" xfId="0" applyNumberFormat="1" applyBorder="1"/>
    <xf numFmtId="0" fontId="21" fillId="0" borderId="0" xfId="0" applyFont="1"/>
    <xf numFmtId="0" fontId="22" fillId="0" borderId="0" xfId="0" applyFont="1"/>
    <xf numFmtId="3" fontId="0" fillId="0" borderId="1" xfId="0" applyNumberFormat="1" applyBorder="1"/>
    <xf numFmtId="0" fontId="23" fillId="0" borderId="0" xfId="0" applyFont="1"/>
    <xf numFmtId="0" fontId="24" fillId="0" borderId="1" xfId="0" applyFont="1" applyBorder="1"/>
    <xf numFmtId="3" fontId="17" fillId="0" borderId="1" xfId="0" applyNumberFormat="1" applyFont="1" applyBorder="1"/>
    <xf numFmtId="166" fontId="1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60"/>
  <sheetViews>
    <sheetView tabSelected="1" topLeftCell="B1" zoomScale="68" zoomScaleNormal="68" workbookViewId="0">
      <selection activeCell="J18" sqref="J18"/>
    </sheetView>
  </sheetViews>
  <sheetFormatPr baseColWidth="10" defaultColWidth="11.5" defaultRowHeight="16"/>
  <cols>
    <col min="2" max="2" width="21.33203125" customWidth="1"/>
    <col min="3" max="3" width="10.1640625" customWidth="1"/>
    <col min="4" max="4" width="17.5" customWidth="1"/>
    <col min="5" max="5" width="17.1640625" customWidth="1"/>
    <col min="6" max="6" width="15" customWidth="1"/>
    <col min="7" max="7" width="53.83203125" customWidth="1"/>
    <col min="8" max="8" width="16.33203125" customWidth="1"/>
    <col min="9" max="9" width="12.5" customWidth="1"/>
    <col min="10" max="10" width="9.83203125" customWidth="1"/>
    <col min="11" max="11" width="13.5" customWidth="1"/>
    <col min="13" max="13" width="16.5" customWidth="1"/>
    <col min="15" max="15" width="12.1640625" customWidth="1"/>
    <col min="16" max="16" width="10.33203125" customWidth="1"/>
  </cols>
  <sheetData>
    <row r="1" spans="2:17">
      <c r="G1" s="1" t="s">
        <v>0</v>
      </c>
    </row>
    <row r="2" spans="2:17">
      <c r="G2" s="2" t="s">
        <v>1</v>
      </c>
    </row>
    <row r="3" spans="2:17">
      <c r="G3" s="3" t="s">
        <v>2</v>
      </c>
    </row>
    <row r="4" spans="2:17" ht="18.75" customHeight="1">
      <c r="B4" s="4"/>
      <c r="C4" s="4"/>
      <c r="D4" s="4"/>
      <c r="G4" s="5" t="s">
        <v>3</v>
      </c>
      <c r="H4" s="5" t="s">
        <v>4</v>
      </c>
      <c r="I4" s="5" t="s">
        <v>5</v>
      </c>
    </row>
    <row r="5" spans="2:17" ht="18.75" customHeight="1">
      <c r="B5" s="4"/>
      <c r="C5" s="6"/>
      <c r="D5" s="6"/>
      <c r="E5" s="7"/>
      <c r="F5" s="7"/>
      <c r="G5" s="5" t="s">
        <v>6</v>
      </c>
      <c r="H5" s="8"/>
      <c r="I5" s="8"/>
    </row>
    <row r="6" spans="2:17" ht="18.75" customHeight="1">
      <c r="B6" s="4"/>
      <c r="C6" s="6"/>
      <c r="D6" s="6"/>
      <c r="E6" s="9"/>
      <c r="F6" s="9"/>
      <c r="G6" s="5" t="s">
        <v>7</v>
      </c>
      <c r="H6" s="8"/>
      <c r="I6" s="8"/>
    </row>
    <row r="7" spans="2:17" ht="18.75" customHeight="1">
      <c r="B7" s="6"/>
      <c r="C7" s="10"/>
      <c r="D7" s="10"/>
      <c r="E7" s="9"/>
      <c r="F7" s="9"/>
      <c r="G7" s="8" t="s">
        <v>8</v>
      </c>
      <c r="H7" s="11">
        <f>'Cash Flow'!C43</f>
        <v>30242</v>
      </c>
      <c r="I7" s="11">
        <f>'Cash Flow'!D43</f>
        <v>18315</v>
      </c>
      <c r="J7" s="7"/>
    </row>
    <row r="8" spans="2:17" ht="18.75" customHeight="1">
      <c r="B8" s="6"/>
      <c r="C8" s="10"/>
      <c r="D8" s="10"/>
      <c r="E8" s="7"/>
      <c r="F8" s="7"/>
      <c r="G8" s="8" t="s">
        <v>9</v>
      </c>
      <c r="H8" s="11">
        <v>64323</v>
      </c>
      <c r="I8" s="11">
        <v>57228</v>
      </c>
      <c r="J8" s="9"/>
    </row>
    <row r="9" spans="2:17" ht="18.75" customHeight="1">
      <c r="B9" s="6"/>
      <c r="C9" s="10"/>
      <c r="D9" s="10"/>
      <c r="E9" s="12"/>
      <c r="F9" s="4"/>
      <c r="G9" s="8" t="s">
        <v>10</v>
      </c>
      <c r="H9" s="13">
        <f>H7+H8</f>
        <v>94565</v>
      </c>
      <c r="I9" s="13">
        <f>I7+I8</f>
        <v>75543</v>
      </c>
      <c r="J9" s="9"/>
      <c r="K9" s="14"/>
      <c r="L9" s="15"/>
      <c r="M9" s="16"/>
      <c r="N9" s="16"/>
      <c r="O9" s="16"/>
    </row>
    <row r="10" spans="2:17" ht="18.75" customHeight="1">
      <c r="B10" s="6"/>
      <c r="C10" s="10"/>
      <c r="D10" s="10"/>
      <c r="E10" s="12"/>
      <c r="F10" s="4"/>
      <c r="G10" s="8" t="s">
        <v>11</v>
      </c>
      <c r="H10" s="11">
        <v>69905</v>
      </c>
      <c r="I10" s="11">
        <v>56924</v>
      </c>
      <c r="J10" s="9"/>
      <c r="K10" s="14"/>
      <c r="L10" s="14"/>
      <c r="M10" s="16"/>
      <c r="N10" s="16"/>
      <c r="O10" s="17"/>
    </row>
    <row r="11" spans="2:17" ht="18.75" customHeight="1">
      <c r="B11" s="6"/>
      <c r="C11" s="6"/>
      <c r="D11" s="10"/>
      <c r="E11" s="12"/>
      <c r="F11" s="6"/>
      <c r="G11" s="8" t="s">
        <v>12</v>
      </c>
      <c r="H11" s="11">
        <v>938</v>
      </c>
      <c r="I11" s="11">
        <v>1246</v>
      </c>
      <c r="J11" s="18"/>
      <c r="K11" s="19"/>
      <c r="L11" s="14"/>
      <c r="M11" s="20"/>
      <c r="N11" s="20"/>
      <c r="O11" s="20"/>
      <c r="P11" s="20"/>
      <c r="Q11" s="15"/>
    </row>
    <row r="12" spans="2:17" ht="18.75" customHeight="1">
      <c r="B12" s="6"/>
      <c r="C12" s="10"/>
      <c r="D12" s="10"/>
      <c r="E12" s="21"/>
      <c r="F12" s="6"/>
      <c r="G12" s="8" t="s">
        <v>13</v>
      </c>
      <c r="H12" s="11">
        <v>25723</v>
      </c>
      <c r="I12" s="11">
        <v>26021</v>
      </c>
      <c r="J12" s="22"/>
      <c r="K12" s="19"/>
      <c r="L12" s="23"/>
      <c r="M12" s="20"/>
      <c r="N12" s="24"/>
      <c r="O12" s="24"/>
      <c r="P12" s="24"/>
      <c r="Q12" s="16"/>
    </row>
    <row r="13" spans="2:17" ht="18.75" customHeight="1">
      <c r="B13" s="4"/>
      <c r="C13" s="25"/>
      <c r="D13" s="25"/>
      <c r="E13" s="12"/>
      <c r="F13" s="6"/>
      <c r="G13" s="5" t="s">
        <v>14</v>
      </c>
      <c r="H13" s="13">
        <f>SUM(H9:H12)</f>
        <v>191131</v>
      </c>
      <c r="I13" s="13">
        <f>SUM(I9:I12)</f>
        <v>159734</v>
      </c>
      <c r="J13" s="18"/>
      <c r="K13" s="26"/>
      <c r="L13" s="19"/>
      <c r="M13" s="24"/>
      <c r="N13" s="24"/>
      <c r="O13" s="24"/>
      <c r="P13" s="24"/>
    </row>
    <row r="14" spans="2:17" ht="18.75" customHeight="1">
      <c r="B14" s="6"/>
      <c r="C14" s="10"/>
      <c r="D14" s="10"/>
      <c r="E14" s="12"/>
      <c r="F14" s="6"/>
      <c r="G14" s="8" t="s">
        <v>15</v>
      </c>
      <c r="H14" s="11">
        <v>204966</v>
      </c>
      <c r="I14" s="11">
        <v>135591</v>
      </c>
      <c r="J14" s="18"/>
      <c r="K14" s="19"/>
      <c r="L14" s="19"/>
      <c r="M14" s="24"/>
      <c r="N14" s="27"/>
      <c r="O14" s="27"/>
      <c r="P14" s="27"/>
    </row>
    <row r="15" spans="2:17" ht="18.75" customHeight="1">
      <c r="B15" s="6"/>
      <c r="C15" s="10"/>
      <c r="D15" s="10"/>
      <c r="E15" s="28"/>
      <c r="F15" s="6"/>
      <c r="G15" s="8" t="s">
        <v>16</v>
      </c>
      <c r="H15" s="11">
        <v>24823</v>
      </c>
      <c r="I15" s="11">
        <v>18961</v>
      </c>
      <c r="J15" s="18"/>
      <c r="K15" s="19"/>
      <c r="L15" s="26"/>
      <c r="M15" s="20"/>
      <c r="N15" s="29"/>
      <c r="O15" s="29"/>
      <c r="P15" s="29"/>
    </row>
    <row r="16" spans="2:17" ht="18.75" customHeight="1">
      <c r="B16" s="6"/>
      <c r="C16" s="10"/>
      <c r="D16" s="10"/>
      <c r="E16" s="30"/>
      <c r="F16" s="6"/>
      <c r="G16" s="8" t="s">
        <v>17</v>
      </c>
      <c r="H16" s="11">
        <v>15405</v>
      </c>
      <c r="I16" s="11">
        <v>14600</v>
      </c>
      <c r="J16" s="22"/>
      <c r="K16" s="19"/>
      <c r="L16" s="19"/>
      <c r="M16" s="20"/>
      <c r="N16" s="24"/>
      <c r="O16" s="24"/>
      <c r="P16" s="24"/>
    </row>
    <row r="17" spans="2:16" ht="18.75" customHeight="1">
      <c r="B17" s="6"/>
      <c r="C17" s="10"/>
      <c r="D17" s="10"/>
      <c r="E17" s="30"/>
      <c r="F17" s="6"/>
      <c r="G17" s="8" t="s">
        <v>18</v>
      </c>
      <c r="H17" s="11">
        <v>119509</v>
      </c>
      <c r="I17" s="11">
        <v>119220</v>
      </c>
      <c r="J17" s="18"/>
      <c r="K17" s="19"/>
      <c r="L17" s="19"/>
      <c r="M17" s="24"/>
      <c r="N17" s="27"/>
      <c r="O17" s="27"/>
      <c r="P17" s="27"/>
    </row>
    <row r="18" spans="2:16" ht="18.75" customHeight="1">
      <c r="B18" s="6"/>
      <c r="C18" s="10"/>
      <c r="D18" s="10"/>
      <c r="E18" s="28"/>
      <c r="F18" s="6"/>
      <c r="G18" s="8" t="s">
        <v>19</v>
      </c>
      <c r="H18" s="11">
        <v>22604</v>
      </c>
      <c r="I18" s="11">
        <v>27597</v>
      </c>
      <c r="J18" s="18"/>
      <c r="K18" s="26"/>
      <c r="L18" s="19"/>
      <c r="M18" s="24"/>
      <c r="N18" s="27"/>
      <c r="O18" s="27"/>
      <c r="P18" s="27"/>
    </row>
    <row r="19" spans="2:16" ht="18.75" customHeight="1">
      <c r="B19" s="6"/>
      <c r="C19" s="10"/>
      <c r="D19" s="10"/>
      <c r="E19" s="30"/>
      <c r="F19" s="6"/>
      <c r="G19" s="8" t="s">
        <v>20</v>
      </c>
      <c r="H19" s="11">
        <v>40565</v>
      </c>
      <c r="I19" s="11">
        <v>36460</v>
      </c>
      <c r="J19" s="18"/>
      <c r="K19" s="19"/>
      <c r="L19" s="19"/>
      <c r="M19" s="20"/>
      <c r="N19" s="29"/>
      <c r="O19" s="29"/>
      <c r="P19" s="29"/>
    </row>
    <row r="20" spans="2:16" ht="18.75" customHeight="1">
      <c r="B20" s="4"/>
      <c r="C20" s="4"/>
      <c r="D20" s="4"/>
      <c r="E20" s="30"/>
      <c r="F20" s="6"/>
      <c r="G20" s="5" t="s">
        <v>21</v>
      </c>
      <c r="H20" s="13">
        <f>H13+SUM(H14:H19)</f>
        <v>619003</v>
      </c>
      <c r="I20" s="13">
        <f>I13+SUM(I14:I19)</f>
        <v>512163</v>
      </c>
      <c r="J20" s="18"/>
      <c r="K20" s="19"/>
      <c r="L20" s="26"/>
      <c r="M20" s="20"/>
      <c r="N20" s="29"/>
      <c r="O20" s="29"/>
      <c r="P20" s="29"/>
    </row>
    <row r="21" spans="2:16" ht="18.75" customHeight="1">
      <c r="B21" s="4"/>
      <c r="C21" s="6"/>
      <c r="D21" s="6"/>
      <c r="E21" s="28"/>
      <c r="F21" s="6"/>
      <c r="G21" s="5" t="s">
        <v>22</v>
      </c>
      <c r="H21" s="8"/>
      <c r="I21" s="8"/>
      <c r="J21" s="18"/>
      <c r="K21" s="19"/>
      <c r="L21" s="19"/>
      <c r="M21" s="24"/>
      <c r="N21" s="27"/>
      <c r="O21" s="27"/>
      <c r="P21" s="27"/>
    </row>
    <row r="22" spans="2:16" ht="18.75" customHeight="1">
      <c r="B22" s="4"/>
      <c r="C22" s="6"/>
      <c r="D22" s="6"/>
      <c r="E22" s="30"/>
      <c r="F22" s="6"/>
      <c r="G22" s="5" t="s">
        <v>23</v>
      </c>
      <c r="H22" s="8"/>
      <c r="I22" s="8"/>
      <c r="J22" s="18"/>
      <c r="K22" s="19"/>
      <c r="L22" s="19"/>
      <c r="M22" s="24"/>
      <c r="N22" s="27"/>
      <c r="O22" s="27"/>
      <c r="P22" s="27"/>
    </row>
    <row r="23" spans="2:16" ht="18.75" customHeight="1">
      <c r="B23" s="6"/>
      <c r="C23" s="6"/>
      <c r="D23" s="6"/>
      <c r="E23" s="30"/>
      <c r="F23" s="6"/>
      <c r="G23" s="8" t="s">
        <v>24</v>
      </c>
      <c r="H23" s="11">
        <v>27724</v>
      </c>
      <c r="I23" s="11">
        <v>21996</v>
      </c>
      <c r="J23" s="7"/>
      <c r="K23" s="19"/>
      <c r="L23" s="19"/>
      <c r="M23" s="24"/>
      <c r="N23" s="27"/>
      <c r="O23" s="27"/>
      <c r="P23" s="27"/>
    </row>
    <row r="24" spans="2:16" ht="18.75" customHeight="1">
      <c r="B24" s="6"/>
      <c r="C24" s="6"/>
      <c r="D24" s="10"/>
      <c r="E24" s="28"/>
      <c r="F24" s="6"/>
      <c r="G24" s="8" t="s">
        <v>25</v>
      </c>
      <c r="H24" s="11">
        <v>0</v>
      </c>
      <c r="I24" s="11">
        <v>6693</v>
      </c>
      <c r="J24" s="9"/>
      <c r="K24" s="19"/>
      <c r="L24" s="19"/>
      <c r="M24" s="20"/>
      <c r="N24" s="29"/>
      <c r="O24" s="29"/>
      <c r="P24" s="29"/>
    </row>
    <row r="25" spans="2:16" ht="18.75" customHeight="1">
      <c r="B25" s="6"/>
      <c r="C25" s="10"/>
      <c r="D25" s="10"/>
      <c r="E25" s="28"/>
      <c r="F25" s="6"/>
      <c r="G25" s="8" t="s">
        <v>26</v>
      </c>
      <c r="H25" s="11">
        <v>2999</v>
      </c>
      <c r="I25" s="11">
        <v>2249</v>
      </c>
      <c r="J25" s="9"/>
      <c r="K25" s="19"/>
      <c r="L25" s="19"/>
      <c r="M25" s="24"/>
      <c r="N25" s="27"/>
      <c r="O25" s="27"/>
      <c r="P25" s="24"/>
    </row>
    <row r="26" spans="2:16" ht="18.75" customHeight="1">
      <c r="B26" s="6"/>
      <c r="C26" s="10"/>
      <c r="D26" s="10"/>
      <c r="E26" s="28"/>
      <c r="F26" s="6"/>
      <c r="G26" s="8" t="s">
        <v>27</v>
      </c>
      <c r="H26" s="11">
        <v>13709</v>
      </c>
      <c r="I26" s="11">
        <v>12564</v>
      </c>
      <c r="J26" s="9"/>
      <c r="K26" s="26"/>
      <c r="L26" s="19"/>
      <c r="M26" s="20"/>
      <c r="N26" s="29"/>
      <c r="O26" s="29"/>
      <c r="P26" s="29"/>
    </row>
    <row r="27" spans="2:16" ht="18.75" customHeight="1">
      <c r="B27" s="6"/>
      <c r="C27" s="10"/>
      <c r="D27" s="10"/>
      <c r="F27" s="4"/>
      <c r="G27" s="8" t="s">
        <v>28</v>
      </c>
      <c r="H27" s="11">
        <v>7211</v>
      </c>
      <c r="I27" s="11">
        <v>5017</v>
      </c>
      <c r="J27" s="9"/>
      <c r="K27" s="19"/>
      <c r="L27" s="19"/>
      <c r="M27" s="24"/>
      <c r="N27" s="27"/>
      <c r="O27" s="27"/>
      <c r="P27" s="27"/>
    </row>
    <row r="28" spans="2:16" ht="18.75" customHeight="1">
      <c r="B28" s="6"/>
      <c r="C28" s="10"/>
      <c r="D28" s="10"/>
      <c r="F28" s="4"/>
      <c r="G28" s="8" t="s">
        <v>29</v>
      </c>
      <c r="H28" s="11">
        <v>64555</v>
      </c>
      <c r="I28" s="11">
        <v>57582</v>
      </c>
      <c r="J28" s="18"/>
      <c r="K28" s="26"/>
      <c r="L28" s="26"/>
      <c r="M28" s="20"/>
      <c r="N28" s="20"/>
      <c r="O28" s="20"/>
      <c r="P28" s="20"/>
    </row>
    <row r="29" spans="2:16" ht="18.75" customHeight="1">
      <c r="B29" s="6"/>
      <c r="C29" s="10"/>
      <c r="D29" s="10"/>
      <c r="F29" s="6"/>
      <c r="G29" s="8" t="s">
        <v>30</v>
      </c>
      <c r="H29" s="11">
        <v>25020</v>
      </c>
      <c r="I29" s="11">
        <v>19185</v>
      </c>
      <c r="J29" s="18"/>
      <c r="K29" s="14"/>
      <c r="L29" s="19"/>
      <c r="M29" s="20"/>
      <c r="N29" s="24"/>
      <c r="O29" s="24"/>
      <c r="P29" s="24"/>
    </row>
    <row r="30" spans="2:16" ht="18.75" customHeight="1">
      <c r="B30" s="4"/>
      <c r="C30" s="25"/>
      <c r="D30" s="25"/>
      <c r="F30" s="6"/>
      <c r="G30" s="5" t="s">
        <v>31</v>
      </c>
      <c r="H30" s="13">
        <f>SUM(H23:H29)</f>
        <v>141218</v>
      </c>
      <c r="I30" s="13">
        <f>SUM(I23:I29)</f>
        <v>125286</v>
      </c>
      <c r="J30" s="18"/>
      <c r="K30" s="14"/>
      <c r="L30" s="26"/>
      <c r="M30" s="24"/>
      <c r="N30" s="24"/>
      <c r="O30" s="24"/>
      <c r="P30" s="24"/>
    </row>
    <row r="31" spans="2:16" ht="18.75" customHeight="1">
      <c r="B31" s="6"/>
      <c r="C31" s="10"/>
      <c r="D31" s="10"/>
      <c r="F31" s="6"/>
      <c r="G31" s="8" t="s">
        <v>32</v>
      </c>
      <c r="H31" s="11">
        <v>40152</v>
      </c>
      <c r="I31" s="11">
        <v>42688</v>
      </c>
      <c r="J31" s="18"/>
      <c r="K31" s="19"/>
      <c r="L31" s="14"/>
      <c r="M31" s="24"/>
      <c r="N31" s="24"/>
      <c r="O31" s="24"/>
      <c r="P31" s="24"/>
    </row>
    <row r="32" spans="2:16" ht="18.75" customHeight="1">
      <c r="B32" s="6"/>
      <c r="C32" s="10"/>
      <c r="D32" s="10"/>
      <c r="F32" s="6"/>
      <c r="G32" s="8" t="s">
        <v>33</v>
      </c>
      <c r="H32" s="11">
        <v>25986</v>
      </c>
      <c r="I32" s="11">
        <v>27931</v>
      </c>
      <c r="J32" s="18"/>
      <c r="K32" s="19"/>
      <c r="L32" s="14"/>
      <c r="M32" s="20"/>
      <c r="N32" s="24"/>
      <c r="O32" s="24"/>
      <c r="P32" s="24"/>
    </row>
    <row r="33" spans="2:16" ht="18.75" customHeight="1">
      <c r="B33" s="6"/>
      <c r="C33" s="10"/>
      <c r="D33" s="10"/>
      <c r="F33" s="6"/>
      <c r="G33" s="8" t="s">
        <v>34</v>
      </c>
      <c r="H33" s="11">
        <v>2710</v>
      </c>
      <c r="I33" s="11">
        <v>2602</v>
      </c>
      <c r="J33" s="22"/>
      <c r="K33" s="19"/>
      <c r="L33" s="19"/>
      <c r="M33" s="24"/>
      <c r="N33" s="27"/>
      <c r="O33" s="27"/>
      <c r="P33" s="27"/>
    </row>
    <row r="34" spans="2:16" ht="18.75" customHeight="1">
      <c r="B34" s="6"/>
      <c r="C34" s="10"/>
      <c r="D34" s="10"/>
      <c r="F34" s="6"/>
      <c r="G34" s="8" t="s">
        <v>35</v>
      </c>
      <c r="H34" s="11">
        <v>2835</v>
      </c>
      <c r="I34" s="11">
        <v>2618</v>
      </c>
      <c r="J34" s="18"/>
      <c r="K34" s="19"/>
      <c r="L34" s="19"/>
      <c r="M34" s="24"/>
      <c r="N34" s="27"/>
      <c r="O34" s="27"/>
      <c r="P34" s="27"/>
    </row>
    <row r="35" spans="2:16" ht="18.75" customHeight="1">
      <c r="B35" s="6"/>
      <c r="C35" s="10"/>
      <c r="D35" s="10"/>
      <c r="F35" s="6"/>
      <c r="G35" s="8" t="s">
        <v>36</v>
      </c>
      <c r="H35" s="11">
        <v>17437</v>
      </c>
      <c r="I35" s="11">
        <v>15497</v>
      </c>
      <c r="J35" s="18"/>
      <c r="K35" s="19"/>
      <c r="L35" s="19"/>
    </row>
    <row r="36" spans="2:16" ht="18.75" customHeight="1">
      <c r="B36" s="6"/>
      <c r="C36" s="10"/>
      <c r="D36" s="10"/>
      <c r="F36" s="4"/>
      <c r="G36" s="8" t="s">
        <v>37</v>
      </c>
      <c r="H36" s="11">
        <v>45186</v>
      </c>
      <c r="I36" s="11">
        <v>27064</v>
      </c>
      <c r="J36" s="18"/>
      <c r="K36" s="19"/>
      <c r="L36" s="19"/>
    </row>
    <row r="37" spans="2:16" ht="18.75" customHeight="1">
      <c r="B37" s="4"/>
      <c r="C37" s="25"/>
      <c r="D37" s="25"/>
      <c r="F37" s="4"/>
      <c r="G37" s="5" t="s">
        <v>38</v>
      </c>
      <c r="H37" s="13">
        <f>H30+SUM(H31:H36)</f>
        <v>275524</v>
      </c>
      <c r="I37" s="13">
        <f>I30+SUM(I31:I36)</f>
        <v>243686</v>
      </c>
      <c r="J37" s="9"/>
      <c r="K37" s="19"/>
      <c r="L37" s="19"/>
    </row>
    <row r="38" spans="2:16" ht="18.75" customHeight="1">
      <c r="B38" s="4"/>
      <c r="C38" s="6"/>
      <c r="D38" s="6"/>
      <c r="F38" s="6"/>
      <c r="G38" s="5" t="s">
        <v>39</v>
      </c>
      <c r="H38" s="31"/>
      <c r="I38" s="31"/>
      <c r="J38" s="18"/>
      <c r="K38" s="26"/>
      <c r="L38" s="19"/>
    </row>
    <row r="39" spans="2:16" ht="18.75" customHeight="1">
      <c r="B39" s="6"/>
      <c r="C39" s="10"/>
      <c r="D39" s="10"/>
      <c r="F39" s="6"/>
      <c r="G39" s="8" t="s">
        <v>40</v>
      </c>
      <c r="H39" s="11">
        <v>109095</v>
      </c>
      <c r="I39" s="11">
        <v>100923</v>
      </c>
      <c r="J39" s="18"/>
      <c r="K39" s="19"/>
      <c r="L39" s="19"/>
    </row>
    <row r="40" spans="2:16" ht="18.75" customHeight="1">
      <c r="B40" s="6"/>
      <c r="C40" s="10"/>
      <c r="D40" s="10"/>
      <c r="F40" s="6"/>
      <c r="G40" s="8" t="s">
        <v>41</v>
      </c>
      <c r="H40" s="11">
        <v>237731</v>
      </c>
      <c r="I40" s="11">
        <v>173144</v>
      </c>
      <c r="J40" s="22"/>
      <c r="K40" s="19"/>
      <c r="L40" s="26"/>
    </row>
    <row r="41" spans="2:16" ht="18.75" customHeight="1">
      <c r="B41" s="6"/>
      <c r="C41" s="10"/>
      <c r="D41" s="10"/>
      <c r="F41" s="6"/>
      <c r="G41" s="8" t="s">
        <v>42</v>
      </c>
      <c r="H41" s="11">
        <v>-3347</v>
      </c>
      <c r="I41" s="11">
        <v>-5590</v>
      </c>
      <c r="J41" s="9"/>
      <c r="K41" s="19"/>
      <c r="L41" s="19"/>
    </row>
    <row r="42" spans="2:16" ht="18.75" customHeight="1">
      <c r="B42" s="4"/>
      <c r="C42" s="25"/>
      <c r="D42" s="25"/>
      <c r="F42" s="6"/>
      <c r="G42" s="5" t="s">
        <v>43</v>
      </c>
      <c r="H42" s="13">
        <f>SUM(H39:H41)</f>
        <v>343479</v>
      </c>
      <c r="I42" s="13">
        <f>SUM(I39:I41)</f>
        <v>268477</v>
      </c>
      <c r="J42" s="18"/>
      <c r="K42" s="19"/>
      <c r="L42" s="19"/>
    </row>
    <row r="43" spans="2:16" ht="18.75" customHeight="1">
      <c r="B43" s="4"/>
      <c r="C43" s="4"/>
      <c r="D43" s="4"/>
      <c r="F43" s="6"/>
      <c r="G43" s="5" t="s">
        <v>44</v>
      </c>
      <c r="H43" s="13">
        <f>H37+H42</f>
        <v>619003</v>
      </c>
      <c r="I43" s="13">
        <f>I37+I42</f>
        <v>512163</v>
      </c>
      <c r="J43" s="18"/>
      <c r="K43" s="19"/>
      <c r="L43" s="19"/>
    </row>
    <row r="44" spans="2:16" ht="18.75" customHeight="1">
      <c r="F44" s="4"/>
      <c r="G44" s="25"/>
      <c r="H44" s="25"/>
      <c r="I44" s="25"/>
      <c r="J44" s="18"/>
      <c r="K44" s="19"/>
      <c r="L44" s="19"/>
    </row>
    <row r="45" spans="2:16" ht="18.75" customHeight="1">
      <c r="F45" s="6"/>
      <c r="G45" s="6"/>
      <c r="H45" s="6"/>
      <c r="I45" s="6"/>
      <c r="J45" s="22"/>
      <c r="K45" s="19"/>
      <c r="L45" s="19"/>
    </row>
    <row r="46" spans="2:16" ht="18.75" customHeight="1">
      <c r="F46" s="6"/>
      <c r="G46" s="10"/>
      <c r="H46" s="10"/>
      <c r="I46" s="10"/>
      <c r="J46" s="7"/>
      <c r="K46" s="26"/>
      <c r="L46" s="19"/>
    </row>
    <row r="47" spans="2:16" ht="18.75" customHeight="1">
      <c r="F47" s="6"/>
      <c r="G47" s="10"/>
      <c r="H47" s="10"/>
      <c r="I47" s="10"/>
      <c r="J47" s="32"/>
      <c r="K47" s="19"/>
      <c r="L47" s="19"/>
    </row>
    <row r="48" spans="2:16" ht="18.75" customHeight="1">
      <c r="F48" s="4"/>
      <c r="G48" s="25"/>
      <c r="H48" s="25"/>
      <c r="I48" s="25"/>
      <c r="J48" s="26"/>
      <c r="K48" s="26"/>
      <c r="L48" s="26"/>
    </row>
    <row r="49" spans="9:12" ht="18.75" customHeight="1">
      <c r="I49" s="26"/>
      <c r="J49" s="32"/>
      <c r="K49" s="14"/>
      <c r="L49" s="19"/>
    </row>
    <row r="50" spans="9:12" ht="18.75" customHeight="1">
      <c r="I50" s="33"/>
      <c r="J50" s="26"/>
      <c r="K50" s="14"/>
      <c r="L50" s="26"/>
    </row>
    <row r="51" spans="9:12" ht="18.75" customHeight="1">
      <c r="I51" s="26"/>
      <c r="J51" s="14"/>
      <c r="K51" s="19"/>
      <c r="L51" s="14"/>
    </row>
    <row r="52" spans="9:12" ht="18.75" customHeight="1">
      <c r="I52" s="34"/>
      <c r="J52" s="14"/>
      <c r="K52" s="19"/>
      <c r="L52" s="14"/>
    </row>
    <row r="53" spans="9:12" ht="18.75" customHeight="1">
      <c r="I53" s="34"/>
      <c r="J53" s="32"/>
      <c r="K53" s="19"/>
      <c r="L53" s="19"/>
    </row>
    <row r="54" spans="9:12" ht="18.75" customHeight="1">
      <c r="I54" s="35"/>
      <c r="J54" s="32"/>
      <c r="K54" s="26"/>
      <c r="L54" s="19"/>
    </row>
    <row r="55" spans="9:12" ht="18.75" customHeight="1">
      <c r="I55" s="35"/>
      <c r="J55" s="36"/>
      <c r="K55" s="19"/>
      <c r="L55" s="19"/>
    </row>
    <row r="56" spans="9:12" ht="18.75" customHeight="1">
      <c r="I56" s="35"/>
      <c r="J56" s="26"/>
      <c r="K56" s="26"/>
      <c r="L56" s="26"/>
    </row>
    <row r="57" spans="9:12" ht="18.75" customHeight="1">
      <c r="I57" s="26"/>
      <c r="J57" s="32"/>
      <c r="K57" s="19"/>
      <c r="L57" s="19"/>
    </row>
    <row r="58" spans="9:12" ht="18.75" customHeight="1">
      <c r="I58" s="33"/>
      <c r="J58" s="26"/>
      <c r="L58" s="26"/>
    </row>
    <row r="59" spans="9:12" ht="18.75" customHeight="1">
      <c r="I59" s="26"/>
      <c r="J59" s="32"/>
      <c r="L59" s="19"/>
    </row>
    <row r="60" spans="9:12" ht="18.75" customHeight="1">
      <c r="I60" s="3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G30"/>
  <sheetViews>
    <sheetView topLeftCell="A2" zoomScaleNormal="100" workbookViewId="0">
      <selection activeCell="D18" sqref="D18"/>
    </sheetView>
  </sheetViews>
  <sheetFormatPr baseColWidth="10" defaultColWidth="10.5" defaultRowHeight="16"/>
  <cols>
    <col min="4" max="4" width="38.6640625" customWidth="1"/>
    <col min="5" max="5" width="11.83203125" customWidth="1"/>
    <col min="6" max="6" width="13.1640625" customWidth="1"/>
    <col min="7" max="7" width="11" customWidth="1"/>
  </cols>
  <sheetData>
    <row r="1" spans="4:7">
      <c r="D1" s="1" t="s">
        <v>0</v>
      </c>
    </row>
    <row r="2" spans="4:7">
      <c r="D2" s="2" t="s">
        <v>45</v>
      </c>
    </row>
    <row r="3" spans="4:7">
      <c r="D3" s="3" t="s">
        <v>46</v>
      </c>
    </row>
    <row r="7" spans="4:7" ht="21" customHeight="1">
      <c r="D7" s="38" t="s">
        <v>3</v>
      </c>
      <c r="E7" s="38" t="s">
        <v>4</v>
      </c>
      <c r="F7" s="38" t="s">
        <v>5</v>
      </c>
      <c r="G7" s="38" t="s">
        <v>47</v>
      </c>
    </row>
    <row r="8" spans="4:7" ht="21" customHeight="1">
      <c r="D8" s="38" t="s">
        <v>48</v>
      </c>
      <c r="E8" s="39"/>
      <c r="F8" s="39"/>
      <c r="G8" s="39"/>
    </row>
    <row r="9" spans="4:7" ht="21" customHeight="1">
      <c r="D9" s="39" t="s">
        <v>49</v>
      </c>
      <c r="E9" s="11">
        <v>63946</v>
      </c>
      <c r="F9" s="11">
        <v>64773</v>
      </c>
      <c r="G9" s="11">
        <v>64699</v>
      </c>
    </row>
    <row r="10" spans="4:7" ht="21" customHeight="1">
      <c r="D10" s="39" t="s">
        <v>50</v>
      </c>
      <c r="E10" s="11">
        <v>217778</v>
      </c>
      <c r="F10" s="11">
        <v>180349</v>
      </c>
      <c r="G10" s="11">
        <v>147216</v>
      </c>
    </row>
    <row r="11" spans="4:7" ht="21" customHeight="1">
      <c r="D11" s="38" t="s">
        <v>51</v>
      </c>
      <c r="E11" s="13">
        <f>E9+E10</f>
        <v>281724</v>
      </c>
      <c r="F11" s="13">
        <f>F9+F10</f>
        <v>245122</v>
      </c>
      <c r="G11" s="13">
        <f>G9+G10</f>
        <v>211915</v>
      </c>
    </row>
    <row r="12" spans="4:7" ht="21" customHeight="1">
      <c r="D12" s="38" t="s">
        <v>52</v>
      </c>
      <c r="E12" s="39"/>
      <c r="F12" s="39"/>
      <c r="G12" s="39"/>
    </row>
    <row r="13" spans="4:7" ht="21" customHeight="1">
      <c r="D13" s="39" t="s">
        <v>49</v>
      </c>
      <c r="E13" s="11">
        <v>13501</v>
      </c>
      <c r="F13" s="11">
        <v>15272</v>
      </c>
      <c r="G13" s="11">
        <v>17804</v>
      </c>
    </row>
    <row r="14" spans="4:7" ht="21" customHeight="1">
      <c r="D14" s="39" t="s">
        <v>50</v>
      </c>
      <c r="E14" s="11">
        <v>74330</v>
      </c>
      <c r="F14" s="11">
        <v>58842</v>
      </c>
      <c r="G14" s="11">
        <v>48059</v>
      </c>
    </row>
    <row r="15" spans="4:7" ht="21" customHeight="1">
      <c r="D15" s="38" t="s">
        <v>53</v>
      </c>
      <c r="E15" s="13">
        <f>E13+E14</f>
        <v>87831</v>
      </c>
      <c r="F15" s="13">
        <f>F13+F14</f>
        <v>74114</v>
      </c>
      <c r="G15" s="13">
        <f>G13+G14</f>
        <v>65863</v>
      </c>
    </row>
    <row r="16" spans="4:7" ht="21" customHeight="1">
      <c r="D16" s="38" t="s">
        <v>54</v>
      </c>
      <c r="E16" s="13">
        <f>E11-E15</f>
        <v>193893</v>
      </c>
      <c r="F16" s="13">
        <f>F11-F15</f>
        <v>171008</v>
      </c>
      <c r="G16" s="13">
        <f>G11-G15</f>
        <v>146052</v>
      </c>
    </row>
    <row r="17" spans="4:7" ht="21" customHeight="1">
      <c r="D17" s="39" t="s">
        <v>55</v>
      </c>
      <c r="E17" s="11">
        <v>32488</v>
      </c>
      <c r="F17" s="11">
        <v>29510</v>
      </c>
      <c r="G17" s="11">
        <v>27195</v>
      </c>
    </row>
    <row r="18" spans="4:7" ht="21" customHeight="1">
      <c r="D18" s="39" t="s">
        <v>56</v>
      </c>
      <c r="E18" s="11">
        <v>25654</v>
      </c>
      <c r="F18" s="11">
        <v>24456</v>
      </c>
      <c r="G18" s="11">
        <v>22759</v>
      </c>
    </row>
    <row r="19" spans="4:7" ht="21" customHeight="1">
      <c r="D19" s="39" t="s">
        <v>57</v>
      </c>
      <c r="E19" s="11">
        <v>7223</v>
      </c>
      <c r="F19" s="11">
        <v>7609</v>
      </c>
      <c r="G19" s="11">
        <v>7575</v>
      </c>
    </row>
    <row r="20" spans="4:7" ht="21" customHeight="1">
      <c r="D20" s="38" t="s">
        <v>58</v>
      </c>
      <c r="E20" s="13">
        <f>E16-SUM(E17:E19)</f>
        <v>128528</v>
      </c>
      <c r="F20" s="13">
        <f>F16-SUM(F17:F19)</f>
        <v>109433</v>
      </c>
      <c r="G20" s="13">
        <f>G16-SUM(G17:G19)</f>
        <v>88523</v>
      </c>
    </row>
    <row r="21" spans="4:7" ht="21" customHeight="1">
      <c r="D21" s="39" t="s">
        <v>59</v>
      </c>
      <c r="E21" s="11">
        <v>-4901</v>
      </c>
      <c r="F21" s="11">
        <v>-1646</v>
      </c>
      <c r="G21" s="11">
        <v>788</v>
      </c>
    </row>
    <row r="22" spans="4:7" ht="21" customHeight="1">
      <c r="D22" s="38" t="s">
        <v>60</v>
      </c>
      <c r="E22" s="13">
        <f>E20+E21</f>
        <v>123627</v>
      </c>
      <c r="F22" s="13">
        <f>F20+F21</f>
        <v>107787</v>
      </c>
      <c r="G22" s="13">
        <f>G20+G21</f>
        <v>89311</v>
      </c>
    </row>
    <row r="23" spans="4:7" ht="21" customHeight="1">
      <c r="D23" s="39" t="s">
        <v>61</v>
      </c>
      <c r="E23" s="11">
        <v>21795</v>
      </c>
      <c r="F23" s="11">
        <v>19651</v>
      </c>
      <c r="G23" s="11">
        <v>16950</v>
      </c>
    </row>
    <row r="24" spans="4:7" ht="21" customHeight="1">
      <c r="D24" s="38" t="s">
        <v>62</v>
      </c>
      <c r="E24" s="13">
        <f>E22-E23</f>
        <v>101832</v>
      </c>
      <c r="F24" s="13">
        <f>F22-F23</f>
        <v>88136</v>
      </c>
      <c r="G24" s="13">
        <f>G22-G23</f>
        <v>72361</v>
      </c>
    </row>
    <row r="25" spans="4:7" ht="21" customHeight="1">
      <c r="D25" s="38" t="s">
        <v>63</v>
      </c>
      <c r="E25" s="39"/>
      <c r="F25" s="39"/>
      <c r="G25" s="39"/>
    </row>
    <row r="26" spans="4:7" ht="21" customHeight="1">
      <c r="D26" s="39" t="s">
        <v>64</v>
      </c>
      <c r="E26" s="40">
        <v>13.7</v>
      </c>
      <c r="F26" s="40">
        <v>11.86</v>
      </c>
      <c r="G26" s="40">
        <v>9.7200000000000006</v>
      </c>
    </row>
    <row r="27" spans="4:7" ht="21" customHeight="1">
      <c r="D27" s="39" t="s">
        <v>65</v>
      </c>
      <c r="E27" s="40">
        <v>13.64</v>
      </c>
      <c r="F27" s="40">
        <v>11.8</v>
      </c>
      <c r="G27" s="40">
        <v>9.68</v>
      </c>
    </row>
    <row r="28" spans="4:7" ht="21" customHeight="1">
      <c r="D28" s="38" t="s">
        <v>66</v>
      </c>
      <c r="E28" s="39"/>
      <c r="F28" s="39"/>
      <c r="G28" s="39"/>
    </row>
    <row r="29" spans="4:7" ht="21" customHeight="1">
      <c r="D29" s="39" t="s">
        <v>64</v>
      </c>
      <c r="E29" s="11">
        <v>7433</v>
      </c>
      <c r="F29" s="11">
        <v>7431</v>
      </c>
      <c r="G29" s="11">
        <v>7446</v>
      </c>
    </row>
    <row r="30" spans="4:7" ht="21" customHeight="1">
      <c r="D30" s="39" t="s">
        <v>65</v>
      </c>
      <c r="E30" s="11">
        <v>7465</v>
      </c>
      <c r="F30" s="11">
        <v>7469</v>
      </c>
      <c r="G30" s="11">
        <v>7472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3"/>
  <sheetViews>
    <sheetView zoomScale="75" zoomScaleNormal="75" workbookViewId="0">
      <selection activeCell="C27" sqref="C27"/>
    </sheetView>
  </sheetViews>
  <sheetFormatPr baseColWidth="10" defaultColWidth="10.5" defaultRowHeight="16"/>
  <cols>
    <col min="2" max="2" width="102.5" customWidth="1"/>
    <col min="3" max="3" width="12.33203125" customWidth="1"/>
    <col min="4" max="4" width="11.5" customWidth="1"/>
    <col min="5" max="5" width="11.33203125" customWidth="1"/>
  </cols>
  <sheetData>
    <row r="1" spans="2:5">
      <c r="B1" s="1" t="s">
        <v>0</v>
      </c>
    </row>
    <row r="2" spans="2:5">
      <c r="B2" s="2" t="s">
        <v>67</v>
      </c>
    </row>
    <row r="3" spans="2:5">
      <c r="B3" s="3" t="s">
        <v>68</v>
      </c>
    </row>
    <row r="4" spans="2:5" ht="15.75" customHeight="1">
      <c r="B4" s="5" t="s">
        <v>3</v>
      </c>
      <c r="C4" s="5">
        <v>2025</v>
      </c>
      <c r="D4" s="5">
        <v>2024</v>
      </c>
      <c r="E4" s="5">
        <v>2023</v>
      </c>
    </row>
    <row r="5" spans="2:5" ht="15.75" customHeight="1">
      <c r="B5" s="5" t="s">
        <v>69</v>
      </c>
      <c r="C5" s="8"/>
      <c r="D5" s="8"/>
      <c r="E5" s="8"/>
    </row>
    <row r="6" spans="2:5" ht="15.75" customHeight="1">
      <c r="B6" s="8" t="s">
        <v>62</v>
      </c>
      <c r="C6" s="11">
        <f>'Income Statement'!E24</f>
        <v>101832</v>
      </c>
      <c r="D6" s="11">
        <f>'Income Statement'!F24</f>
        <v>88136</v>
      </c>
      <c r="E6" s="11">
        <f>'Income Statement'!G24</f>
        <v>72361</v>
      </c>
    </row>
    <row r="7" spans="2:5" ht="15.75" customHeight="1">
      <c r="B7" s="8" t="s">
        <v>70</v>
      </c>
      <c r="C7" s="8"/>
      <c r="D7" s="8"/>
      <c r="E7" s="8"/>
    </row>
    <row r="8" spans="2:5" ht="15.75" customHeight="1">
      <c r="B8" s="8" t="s">
        <v>71</v>
      </c>
      <c r="C8" s="11">
        <v>34153</v>
      </c>
      <c r="D8" s="11">
        <v>22287</v>
      </c>
      <c r="E8" s="11">
        <v>13861</v>
      </c>
    </row>
    <row r="9" spans="2:5" ht="15.75" customHeight="1">
      <c r="B9" s="8" t="s">
        <v>72</v>
      </c>
      <c r="C9" s="11">
        <v>11974</v>
      </c>
      <c r="D9" s="11">
        <v>10734</v>
      </c>
      <c r="E9" s="11">
        <v>9611</v>
      </c>
    </row>
    <row r="10" spans="2:5" ht="15.75" customHeight="1">
      <c r="B10" s="8" t="s">
        <v>73</v>
      </c>
      <c r="C10" s="11">
        <v>609</v>
      </c>
      <c r="D10" s="11">
        <v>305</v>
      </c>
      <c r="E10" s="11">
        <v>196</v>
      </c>
    </row>
    <row r="11" spans="2:5" ht="15.75" customHeight="1">
      <c r="B11" s="8" t="s">
        <v>35</v>
      </c>
      <c r="C11" s="11">
        <v>-7056</v>
      </c>
      <c r="D11" s="11">
        <v>-4738</v>
      </c>
      <c r="E11" s="11">
        <v>-6059</v>
      </c>
    </row>
    <row r="12" spans="2:5" ht="15.75" customHeight="1">
      <c r="B12" s="8" t="s">
        <v>74</v>
      </c>
      <c r="C12" s="8"/>
      <c r="D12" s="8"/>
      <c r="E12" s="8"/>
    </row>
    <row r="13" spans="2:5" ht="15.75" customHeight="1">
      <c r="B13" s="8" t="s">
        <v>75</v>
      </c>
      <c r="C13" s="11">
        <v>-10581</v>
      </c>
      <c r="D13" s="11">
        <v>-7191</v>
      </c>
      <c r="E13" s="11">
        <v>-4087</v>
      </c>
    </row>
    <row r="14" spans="2:5" ht="15.75" customHeight="1">
      <c r="B14" s="8" t="s">
        <v>12</v>
      </c>
      <c r="C14" s="11">
        <v>309</v>
      </c>
      <c r="D14" s="11">
        <v>1284</v>
      </c>
      <c r="E14" s="11">
        <v>1242</v>
      </c>
    </row>
    <row r="15" spans="2:5" ht="15.75" customHeight="1">
      <c r="B15" s="8" t="s">
        <v>13</v>
      </c>
      <c r="C15" s="11">
        <v>-3044</v>
      </c>
      <c r="D15" s="11">
        <v>-1648</v>
      </c>
      <c r="E15" s="11">
        <v>-1991</v>
      </c>
    </row>
    <row r="16" spans="2:5" ht="15.75" customHeight="1">
      <c r="B16" s="8" t="s">
        <v>20</v>
      </c>
      <c r="C16" s="11">
        <v>-2950</v>
      </c>
      <c r="D16" s="11">
        <v>-6817</v>
      </c>
      <c r="E16" s="11">
        <v>-2833</v>
      </c>
    </row>
    <row r="17" spans="2:5" ht="15.75" customHeight="1">
      <c r="B17" s="8" t="s">
        <v>24</v>
      </c>
      <c r="C17" s="11">
        <v>569</v>
      </c>
      <c r="D17" s="11">
        <v>3545</v>
      </c>
      <c r="E17" s="11">
        <v>-2721</v>
      </c>
    </row>
    <row r="18" spans="2:5" ht="15.75" customHeight="1">
      <c r="B18" s="8" t="s">
        <v>76</v>
      </c>
      <c r="C18" s="11">
        <v>5438</v>
      </c>
      <c r="D18" s="11">
        <v>5348</v>
      </c>
      <c r="E18" s="11">
        <v>5535</v>
      </c>
    </row>
    <row r="19" spans="2:5" ht="15.75" customHeight="1">
      <c r="B19" s="8" t="s">
        <v>77</v>
      </c>
      <c r="C19" s="11">
        <v>-38</v>
      </c>
      <c r="D19" s="11">
        <v>1687</v>
      </c>
      <c r="E19" s="11">
        <v>-358</v>
      </c>
    </row>
    <row r="20" spans="2:5" ht="15.75" customHeight="1">
      <c r="B20" s="8" t="s">
        <v>30</v>
      </c>
      <c r="C20" s="11">
        <v>5922</v>
      </c>
      <c r="D20" s="11">
        <v>4867</v>
      </c>
      <c r="E20" s="11">
        <v>2272</v>
      </c>
    </row>
    <row r="21" spans="2:5" ht="15.75" customHeight="1">
      <c r="B21" s="8" t="s">
        <v>37</v>
      </c>
      <c r="C21" s="11">
        <v>-975</v>
      </c>
      <c r="D21" s="11">
        <v>749</v>
      </c>
      <c r="E21" s="11">
        <v>553</v>
      </c>
    </row>
    <row r="22" spans="2:5" ht="15.75" customHeight="1">
      <c r="B22" s="5" t="s">
        <v>78</v>
      </c>
      <c r="C22" s="13">
        <f>SUM(C6:C21)</f>
        <v>136162</v>
      </c>
      <c r="D22" s="13">
        <f>SUM(D6:D21)</f>
        <v>118548</v>
      </c>
      <c r="E22" s="13">
        <f>SUM(E6:E21)</f>
        <v>87582</v>
      </c>
    </row>
    <row r="23" spans="2:5" ht="15.75" customHeight="1">
      <c r="B23" s="5" t="s">
        <v>79</v>
      </c>
      <c r="C23" s="8"/>
      <c r="D23" s="8"/>
      <c r="E23" s="8"/>
    </row>
    <row r="24" spans="2:5" ht="15.75" customHeight="1">
      <c r="B24" s="8" t="s">
        <v>80</v>
      </c>
      <c r="C24" s="11">
        <v>-5746</v>
      </c>
      <c r="D24" s="11">
        <v>5250</v>
      </c>
      <c r="E24" s="11">
        <v>0</v>
      </c>
    </row>
    <row r="25" spans="2:5" ht="15.75" customHeight="1">
      <c r="B25" s="8" t="s">
        <v>81</v>
      </c>
      <c r="C25" s="11">
        <v>0</v>
      </c>
      <c r="D25" s="11">
        <v>24395</v>
      </c>
      <c r="E25" s="11">
        <v>0</v>
      </c>
    </row>
    <row r="26" spans="2:5" ht="15.75" customHeight="1">
      <c r="B26" s="8" t="s">
        <v>82</v>
      </c>
      <c r="C26" s="11">
        <v>-3216</v>
      </c>
      <c r="D26" s="11">
        <v>-29070</v>
      </c>
      <c r="E26" s="11">
        <v>-2750</v>
      </c>
    </row>
    <row r="27" spans="2:5" ht="15.75" customHeight="1">
      <c r="B27" s="8" t="s">
        <v>83</v>
      </c>
      <c r="C27" s="11">
        <v>2056</v>
      </c>
      <c r="D27" s="11">
        <v>2002</v>
      </c>
      <c r="E27" s="11">
        <v>1866</v>
      </c>
    </row>
    <row r="28" spans="2:5" ht="15.75" customHeight="1">
      <c r="B28" s="8" t="s">
        <v>84</v>
      </c>
      <c r="C28" s="11">
        <v>-18420</v>
      </c>
      <c r="D28" s="11">
        <v>-17254</v>
      </c>
      <c r="E28" s="11">
        <v>-22245</v>
      </c>
    </row>
    <row r="29" spans="2:5" ht="15.75" customHeight="1">
      <c r="B29" s="8" t="s">
        <v>85</v>
      </c>
      <c r="C29" s="11">
        <v>-24082</v>
      </c>
      <c r="D29" s="11">
        <v>-21771</v>
      </c>
      <c r="E29" s="11">
        <v>-19800</v>
      </c>
    </row>
    <row r="30" spans="2:5" ht="15.75" customHeight="1">
      <c r="B30" s="8" t="s">
        <v>86</v>
      </c>
      <c r="C30" s="11">
        <v>-2291</v>
      </c>
      <c r="D30" s="11">
        <v>-1309</v>
      </c>
      <c r="E30" s="11">
        <v>-1006</v>
      </c>
    </row>
    <row r="31" spans="2:5" ht="15.75" customHeight="1">
      <c r="B31" s="5" t="s">
        <v>87</v>
      </c>
      <c r="C31" s="13">
        <f>SUM(C24:C30)</f>
        <v>-51699</v>
      </c>
      <c r="D31" s="13">
        <f>SUM(D24:D30)</f>
        <v>-37757</v>
      </c>
      <c r="E31" s="13">
        <f>SUM(E24:E30)</f>
        <v>-43935</v>
      </c>
    </row>
    <row r="32" spans="2:5" ht="15.75" customHeight="1">
      <c r="B32" s="5" t="s">
        <v>88</v>
      </c>
      <c r="C32" s="8"/>
      <c r="D32" s="8"/>
      <c r="E32" s="8"/>
    </row>
    <row r="33" spans="2:5" ht="15.75" customHeight="1">
      <c r="B33" s="8" t="s">
        <v>89</v>
      </c>
      <c r="C33" s="11">
        <v>-64551</v>
      </c>
      <c r="D33" s="11">
        <v>-44477</v>
      </c>
      <c r="E33" s="11">
        <v>-28107</v>
      </c>
    </row>
    <row r="34" spans="2:5" ht="15.75" customHeight="1">
      <c r="B34" s="8" t="s">
        <v>90</v>
      </c>
      <c r="C34" s="11">
        <v>-5978</v>
      </c>
      <c r="D34" s="11">
        <v>-69132</v>
      </c>
      <c r="E34" s="11">
        <v>-1670</v>
      </c>
    </row>
    <row r="35" spans="2:5" ht="15.75" customHeight="1">
      <c r="B35" s="8" t="s">
        <v>91</v>
      </c>
      <c r="C35" s="11">
        <v>-29775</v>
      </c>
      <c r="D35" s="11">
        <v>-17732</v>
      </c>
      <c r="E35" s="11">
        <v>-37651</v>
      </c>
    </row>
    <row r="36" spans="2:5" ht="15.75" customHeight="1">
      <c r="B36" s="8" t="s">
        <v>92</v>
      </c>
      <c r="C36" s="11">
        <v>16079</v>
      </c>
      <c r="D36" s="11">
        <v>24775</v>
      </c>
      <c r="E36" s="11">
        <v>33510</v>
      </c>
    </row>
    <row r="37" spans="2:5" ht="15.75" customHeight="1">
      <c r="B37" s="8" t="s">
        <v>93</v>
      </c>
      <c r="C37" s="11">
        <v>9309</v>
      </c>
      <c r="D37" s="11">
        <v>10894</v>
      </c>
      <c r="E37" s="11">
        <v>14354</v>
      </c>
    </row>
    <row r="38" spans="2:5" ht="15.75" customHeight="1">
      <c r="B38" s="8" t="s">
        <v>86</v>
      </c>
      <c r="C38" s="11">
        <v>2317</v>
      </c>
      <c r="D38" s="11">
        <v>-1298</v>
      </c>
      <c r="E38" s="11">
        <v>-3116</v>
      </c>
    </row>
    <row r="39" spans="2:5" ht="15.75" customHeight="1">
      <c r="B39" s="5" t="s">
        <v>94</v>
      </c>
      <c r="C39" s="13">
        <f>SUM(C33:C38)</f>
        <v>-72599</v>
      </c>
      <c r="D39" s="13">
        <f>SUM(D33:D38)</f>
        <v>-96970</v>
      </c>
      <c r="E39" s="13">
        <f>SUM(E33:E38)</f>
        <v>-22680</v>
      </c>
    </row>
    <row r="40" spans="2:5" ht="15.75" customHeight="1">
      <c r="B40" s="8" t="s">
        <v>95</v>
      </c>
      <c r="C40" s="11">
        <v>63</v>
      </c>
      <c r="D40" s="11">
        <v>-210</v>
      </c>
      <c r="E40" s="11">
        <v>-194</v>
      </c>
    </row>
    <row r="41" spans="2:5" ht="15.75" customHeight="1">
      <c r="B41" s="8" t="s">
        <v>96</v>
      </c>
      <c r="C41" s="13">
        <f>C22+C31+C39+C40</f>
        <v>11927</v>
      </c>
      <c r="D41" s="13">
        <f>D22+D31+D39+D40</f>
        <v>-16389</v>
      </c>
      <c r="E41" s="13">
        <f>E22+E31+E39+E40</f>
        <v>20773</v>
      </c>
    </row>
    <row r="42" spans="2:5" ht="15.75" customHeight="1">
      <c r="B42" s="8" t="s">
        <v>97</v>
      </c>
      <c r="C42" s="11">
        <f>D43</f>
        <v>18315</v>
      </c>
      <c r="D42" s="11">
        <f>E43</f>
        <v>34704</v>
      </c>
      <c r="E42" s="11">
        <v>13931</v>
      </c>
    </row>
    <row r="43" spans="2:5" ht="15.75" customHeight="1">
      <c r="B43" s="5" t="s">
        <v>98</v>
      </c>
      <c r="C43" s="13">
        <f>C42+C41</f>
        <v>30242</v>
      </c>
      <c r="D43" s="13">
        <f>D42+D41</f>
        <v>18315</v>
      </c>
      <c r="E43" s="13">
        <f>E42+E41</f>
        <v>34704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2"/>
  <sheetViews>
    <sheetView zoomScaleNormal="100" workbookViewId="0">
      <selection activeCell="C3" sqref="C3"/>
    </sheetView>
  </sheetViews>
  <sheetFormatPr baseColWidth="10" defaultColWidth="10.5" defaultRowHeight="16"/>
  <cols>
    <col min="2" max="2" width="18" customWidth="1"/>
    <col min="3" max="3" width="12.1640625" customWidth="1"/>
    <col min="4" max="4" width="11.83203125" customWidth="1"/>
    <col min="8" max="8" width="15.1640625" customWidth="1"/>
    <col min="9" max="9" width="15.83203125" customWidth="1"/>
  </cols>
  <sheetData>
    <row r="2" spans="2:10" ht="15.75" customHeight="1">
      <c r="B2" s="41"/>
      <c r="C2" s="41">
        <v>2025</v>
      </c>
      <c r="D2" s="41">
        <v>2024</v>
      </c>
    </row>
    <row r="3" spans="2:10" ht="15.75" customHeight="1">
      <c r="B3" s="41" t="s">
        <v>99</v>
      </c>
      <c r="C3" s="42">
        <f>'Income Statement'!E16/'Income Statement'!E11</f>
        <v>0.68823742386165188</v>
      </c>
      <c r="D3" s="42">
        <f>'Income Statement'!F16/'Income Statement'!F11</f>
        <v>0.69764443827971379</v>
      </c>
    </row>
    <row r="4" spans="2:10" ht="15.75" customHeight="1">
      <c r="B4" s="41"/>
      <c r="C4" s="41"/>
      <c r="D4" s="41"/>
      <c r="G4" s="43"/>
      <c r="H4" s="43"/>
      <c r="I4" s="43"/>
      <c r="J4" s="43"/>
    </row>
    <row r="5" spans="2:10" ht="15.75" customHeight="1">
      <c r="B5" s="41" t="s">
        <v>100</v>
      </c>
      <c r="C5" s="44">
        <f>'Income Statement'!E20/'Income Statement'!E11</f>
        <v>0.45621956240859851</v>
      </c>
      <c r="D5" s="44">
        <f>'Income Statement'!F20/'Income Statement'!F11</f>
        <v>0.44644299573273716</v>
      </c>
      <c r="G5" s="45"/>
      <c r="H5" s="46"/>
      <c r="I5" s="46"/>
      <c r="J5" s="45"/>
    </row>
    <row r="6" spans="2:10" ht="15.75" customHeight="1">
      <c r="B6" s="41"/>
      <c r="C6" s="41"/>
      <c r="D6" s="41"/>
      <c r="G6" s="45"/>
      <c r="H6" s="46"/>
      <c r="I6" s="46"/>
      <c r="J6" s="46"/>
    </row>
    <row r="7" spans="2:10" ht="15.75" customHeight="1">
      <c r="B7" s="41" t="s">
        <v>101</v>
      </c>
      <c r="C7" s="44">
        <f>'Income Statement'!E24/'Income Statement'!E11</f>
        <v>0.36146015248967073</v>
      </c>
      <c r="D7" s="44">
        <f>'Income Statement'!F24/'Income Statement'!F11</f>
        <v>0.35955972944084985</v>
      </c>
      <c r="G7" s="45"/>
      <c r="H7" s="46"/>
      <c r="I7" s="46"/>
      <c r="J7" s="46"/>
    </row>
    <row r="8" spans="2:10" ht="15.75" customHeight="1">
      <c r="B8" s="41"/>
      <c r="C8" s="41"/>
      <c r="D8" s="41"/>
      <c r="G8" s="45"/>
      <c r="H8" s="46"/>
      <c r="I8" s="46"/>
      <c r="J8" s="46"/>
    </row>
    <row r="9" spans="2:10" ht="15.75" customHeight="1">
      <c r="B9" s="41" t="s">
        <v>102</v>
      </c>
      <c r="C9" s="47">
        <f>'Cash Flow'!C22+'Cash Flow'!C33</f>
        <v>71611</v>
      </c>
      <c r="D9" s="47">
        <f>'Cash Flow'!D22+'Cash Flow'!D33</f>
        <v>74071</v>
      </c>
      <c r="G9" s="45"/>
      <c r="H9" s="46"/>
      <c r="I9" s="46"/>
      <c r="J9" s="46"/>
    </row>
    <row r="10" spans="2:10" ht="15.75" customHeight="1">
      <c r="B10" s="41"/>
      <c r="C10" s="41"/>
      <c r="D10" s="41"/>
      <c r="G10" s="45"/>
      <c r="H10" s="46"/>
      <c r="I10" s="46"/>
      <c r="J10" s="46"/>
    </row>
    <row r="11" spans="2:10" ht="15.75" customHeight="1">
      <c r="B11" s="41" t="s">
        <v>103</v>
      </c>
      <c r="C11" s="44">
        <f>'Balance Sheet'!H13/'Balance Sheet'!H30</f>
        <v>1.3534464445042416</v>
      </c>
      <c r="D11" s="44">
        <f>'Balance Sheet'!I13/'Balance Sheet'!I30</f>
        <v>1.2749549031815206</v>
      </c>
      <c r="G11" s="45"/>
      <c r="H11" s="46"/>
      <c r="I11" s="46"/>
      <c r="J11" s="46"/>
    </row>
    <row r="12" spans="2:10" ht="16.5" customHeight="1">
      <c r="G12" s="45"/>
      <c r="H12" s="46"/>
      <c r="I12" s="46"/>
      <c r="J12" s="4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2"/>
  <sheetViews>
    <sheetView zoomScaleNormal="100" workbookViewId="0">
      <selection activeCell="D5" sqref="D5"/>
    </sheetView>
  </sheetViews>
  <sheetFormatPr baseColWidth="10" defaultColWidth="10.5" defaultRowHeight="16"/>
  <cols>
    <col min="2" max="2" width="31.33203125" customWidth="1"/>
    <col min="3" max="3" width="13" customWidth="1"/>
    <col min="4" max="4" width="13.6640625" customWidth="1"/>
    <col min="8" max="8" width="22.1640625" customWidth="1"/>
    <col min="9" max="9" width="27.1640625" customWidth="1"/>
    <col min="10" max="10" width="32.1640625" customWidth="1"/>
    <col min="11" max="11" width="29.6640625" customWidth="1"/>
    <col min="13" max="13" width="10.83203125" customWidth="1"/>
  </cols>
  <sheetData>
    <row r="1" spans="2:11" ht="15.75" customHeight="1">
      <c r="B1" s="41"/>
      <c r="C1" s="41">
        <v>2025</v>
      </c>
      <c r="D1" s="41">
        <v>2024</v>
      </c>
    </row>
    <row r="2" spans="2:11" ht="15.75" customHeight="1">
      <c r="B2" s="41"/>
      <c r="C2" s="41"/>
      <c r="D2" s="41"/>
    </row>
    <row r="3" spans="2:11" ht="15.75" customHeight="1">
      <c r="B3" s="41" t="s">
        <v>104</v>
      </c>
      <c r="C3" s="44">
        <f>'Income Statement'!E20*(1-('Income Statement'!E23/'Income Statement'!E22))</f>
        <v>105868.97114707953</v>
      </c>
      <c r="D3" s="44">
        <f>'Income Statement'!F20*(1-('Income Statement'!F23/'Income Statement'!F22))</f>
        <v>89481.912364199758</v>
      </c>
      <c r="H3" s="20"/>
      <c r="I3" s="20"/>
      <c r="J3" s="20"/>
      <c r="K3" s="20"/>
    </row>
    <row r="4" spans="2:11" ht="15.75" customHeight="1">
      <c r="B4" s="41"/>
      <c r="C4" s="41"/>
      <c r="D4" s="41"/>
      <c r="H4" s="20"/>
      <c r="I4" s="24"/>
      <c r="J4" s="7"/>
      <c r="K4" s="48"/>
    </row>
    <row r="5" spans="2:11" ht="17.25" customHeight="1">
      <c r="B5" s="49" t="s">
        <v>105</v>
      </c>
      <c r="C5" s="50">
        <f>('Balance Sheet'!H10+'Balance Sheet'!H11+'Balance Sheet'!H12)-('Balance Sheet'!H30-'Balance Sheet'!H24-'Balance Sheet'!H25)</f>
        <v>-41653</v>
      </c>
      <c r="D5" s="50">
        <f>('Balance Sheet'!I10+'Balance Sheet'!I11+'Balance Sheet'!I12)-('Balance Sheet'!I30-'Balance Sheet'!I24-'Balance Sheet'!I25)</f>
        <v>-32153</v>
      </c>
      <c r="H5" s="20"/>
      <c r="I5" s="24"/>
      <c r="K5" s="48"/>
    </row>
    <row r="6" spans="2:11" ht="15.75" customHeight="1">
      <c r="B6" s="41"/>
      <c r="C6" s="41"/>
      <c r="D6" s="41"/>
      <c r="H6" s="20"/>
      <c r="I6" s="24"/>
      <c r="J6" s="7"/>
      <c r="K6" s="48"/>
    </row>
    <row r="7" spans="2:11" ht="15.75" customHeight="1">
      <c r="B7" s="41" t="s">
        <v>106</v>
      </c>
      <c r="C7" s="47">
        <f>C5-D5</f>
        <v>-9500</v>
      </c>
      <c r="D7" s="47"/>
      <c r="H7" s="20"/>
      <c r="I7" s="24"/>
      <c r="K7" s="48"/>
    </row>
    <row r="8" spans="2:11" ht="15.75" customHeight="1">
      <c r="B8" s="41"/>
      <c r="C8" s="41"/>
      <c r="D8" s="41"/>
      <c r="H8" s="20"/>
      <c r="I8" s="24"/>
      <c r="J8" s="7"/>
      <c r="K8" s="48"/>
    </row>
    <row r="9" spans="2:11" ht="15.75" customHeight="1">
      <c r="B9" s="41" t="s">
        <v>107</v>
      </c>
      <c r="C9" s="47">
        <f>C3+'Cash Flow'!C8+'Cash Flow'!C33-C7</f>
        <v>84970.971147079545</v>
      </c>
      <c r="D9" s="47">
        <f>D3+'Cash Flow'!D8+'Cash Flow'!D33-D7</f>
        <v>67291.912364199758</v>
      </c>
      <c r="H9" s="20"/>
      <c r="I9" s="24"/>
      <c r="K9" s="48"/>
    </row>
    <row r="10" spans="2:11" ht="15.75" customHeight="1">
      <c r="B10" s="41"/>
      <c r="C10" s="41"/>
      <c r="D10" s="41"/>
      <c r="H10" s="20"/>
      <c r="I10" s="24"/>
      <c r="J10" s="7"/>
      <c r="K10" s="48"/>
    </row>
    <row r="11" spans="2:11" ht="17.25" customHeight="1">
      <c r="B11" s="49" t="s">
        <v>108</v>
      </c>
      <c r="C11" s="47">
        <f>'Balance Sheet'!H24+'Balance Sheet'!H25+'Balance Sheet'!H31</f>
        <v>43151</v>
      </c>
      <c r="D11" s="47">
        <f>'Balance Sheet'!I24+'Balance Sheet'!I25+'Balance Sheet'!I31</f>
        <v>51630</v>
      </c>
      <c r="H11" s="20"/>
      <c r="I11" s="24"/>
      <c r="K11" s="48"/>
    </row>
    <row r="12" spans="2:11" ht="15.75" customHeight="1">
      <c r="B12" s="41"/>
      <c r="C12" s="41"/>
      <c r="D12" s="41"/>
      <c r="H12" s="20"/>
      <c r="I12" s="24"/>
      <c r="J12" s="7"/>
      <c r="K12" s="48"/>
    </row>
    <row r="13" spans="2:11" ht="15.75" customHeight="1">
      <c r="B13" s="41" t="s">
        <v>109</v>
      </c>
      <c r="C13" s="44">
        <f>(0.98 * (0.042 + (0.9 * 0.05))) + (0.02 * (0.04 * (1 - ('Income Statement'!E23 / 'Income Statement'!E22))))</f>
        <v>8.5918962847921568E-2</v>
      </c>
      <c r="D13" s="44">
        <f>(0.98 * (0.042 + (0.9 * 0.05))) + (0.02 * (0.04 * (1 - ('Income Statement'!F23 / 'Income Statement'!F22))))</f>
        <v>8.5914149387217378E-2</v>
      </c>
      <c r="H13" s="20"/>
      <c r="I13" s="24"/>
      <c r="K13" s="48"/>
    </row>
    <row r="14" spans="2:11" ht="15.75" customHeight="1">
      <c r="B14" s="41"/>
      <c r="C14" s="41"/>
      <c r="D14" s="41"/>
      <c r="J14" s="7"/>
    </row>
    <row r="15" spans="2:11" ht="15.75" customHeight="1">
      <c r="B15" s="41" t="s">
        <v>110</v>
      </c>
      <c r="C15" s="44">
        <f>(C9 * 1.03) / (C13 - 0.03)</f>
        <v>1565123.8117472513</v>
      </c>
      <c r="D15" s="44">
        <f>(D9 * 1.03) / (D13 - 0.03)</f>
        <v>1239590.8816413286</v>
      </c>
    </row>
    <row r="16" spans="2:11" ht="15.75" customHeight="1">
      <c r="B16" s="41"/>
      <c r="C16" s="41"/>
      <c r="D16" s="41"/>
      <c r="J16" s="7"/>
    </row>
    <row r="17" spans="2:10" ht="15.75" customHeight="1">
      <c r="B17" s="41" t="s">
        <v>111</v>
      </c>
      <c r="C17" s="44">
        <f>C15 - C11 + 'Balance Sheet'!H9</f>
        <v>1616537.8117472513</v>
      </c>
      <c r="D17" s="44">
        <f>D15 - D11 + 'Balance Sheet'!I9</f>
        <v>1263503.8816413286</v>
      </c>
    </row>
    <row r="18" spans="2:10" ht="15.75" customHeight="1">
      <c r="B18" s="41"/>
      <c r="C18" s="41"/>
      <c r="D18" s="41"/>
      <c r="J18" s="7"/>
    </row>
    <row r="19" spans="2:10" ht="15.75" customHeight="1">
      <c r="B19" s="41" t="s">
        <v>112</v>
      </c>
      <c r="C19" s="51">
        <f>C17 / 'Income Statement'!E30</f>
        <v>216.54893660378451</v>
      </c>
      <c r="D19" s="51">
        <f>D17 / 'Income Statement'!F30</f>
        <v>169.16640536100263</v>
      </c>
    </row>
    <row r="20" spans="2:10" ht="15.75" customHeight="1">
      <c r="B20" s="41"/>
      <c r="C20" s="41"/>
      <c r="D20" s="41"/>
      <c r="J20" s="7"/>
    </row>
    <row r="22" spans="2:10" ht="15.75" customHeight="1">
      <c r="J22" s="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Income Statement</vt:lpstr>
      <vt:lpstr>Cash Flow</vt:lpstr>
      <vt:lpstr>Summary &amp; Ratios.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Mehemmed Qafarov</dc:creator>
  <dc:description/>
  <cp:lastModifiedBy>Mehemmed Qafarov</cp:lastModifiedBy>
  <cp:revision>0</cp:revision>
  <dcterms:created xsi:type="dcterms:W3CDTF">2026-09-01T12:15:32Z</dcterms:created>
  <dcterms:modified xsi:type="dcterms:W3CDTF">2026-09-14T11:49:19Z</dcterms:modified>
  <dc:language>en-US</dc:language>
</cp:coreProperties>
</file>